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aelgreen/dev_stuff/productivity/continuous-innovation-framework/lean-canvas-app/"/>
    </mc:Choice>
  </mc:AlternateContent>
  <xr:revisionPtr revIDLastSave="0" documentId="13_ncr:1_{2AB46F32-4262-EA41-905E-D6703CE0134D}" xr6:coauthVersionLast="47" xr6:coauthVersionMax="47" xr10:uidLastSave="{00000000-0000-0000-0000-000000000000}"/>
  <bookViews>
    <workbookView xWindow="0" yWindow="720" windowWidth="29400" windowHeight="18400" xr2:uid="{0C20A9D5-9074-5F4F-BFE8-D9272C019E0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 s="1"/>
  <c r="D6" i="1" s="1"/>
  <c r="D4" i="1" l="1"/>
  <c r="D5" i="1" s="1"/>
  <c r="D7" i="1" l="1"/>
  <c r="D8" i="1" s="1"/>
</calcChain>
</file>

<file path=xl/sharedStrings.xml><?xml version="1.0" encoding="utf-8"?>
<sst xmlns="http://schemas.openxmlformats.org/spreadsheetml/2006/main" count="14" uniqueCount="14">
  <si>
    <t>Define</t>
  </si>
  <si>
    <t>MSC ($/yr)</t>
  </si>
  <si>
    <t>LTV (yrs)</t>
  </si>
  <si>
    <t>Conversion Rate</t>
  </si>
  <si>
    <t>Referral Rate</t>
  </si>
  <si>
    <t>Compute</t>
  </si>
  <si>
    <t>Yr3 total customers</t>
  </si>
  <si>
    <t>Churn Rate (customers/month)</t>
  </si>
  <si>
    <t>Acquisition Rate (leads/month)</t>
  </si>
  <si>
    <t>Activation Rate</t>
  </si>
  <si>
    <t>Revenue ($/month/user)</t>
  </si>
  <si>
    <t>visitors from referrals</t>
  </si>
  <si>
    <t>Total Visitors/month</t>
  </si>
  <si>
    <t xml:space="preserve"> visitors w/o referrals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</si>
</sst>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068BC-023D-0846-B31E-F4A22302C650}">
  <dimension ref="A1:D8"/>
  <sheetViews>
    <sheetView tabSelected="1" workbookViewId="0">
      <selection activeCell="D8" sqref="D8"/>
    </sheetView>
  </sheetViews>
  <sheetFormatPr baseColWidth="10" defaultRowHeight="16" x14ac:dyDescent="0.2"/>
  <cols>
    <col min="1" max="1" width="14.5" bestFit="1" customWidth="1"/>
    <col min="3" max="3" width="26.83203125" bestFit="1" customWidth="1"/>
  </cols>
  <sheetData>
    <row r="1" spans="1:4" x14ac:dyDescent="0.2">
      <c r="A1" t="s">
        <v>0</v>
      </c>
      <c r="C1" t="s">
        <v>5</v>
      </c>
    </row>
    <row r="2" spans="1:4" x14ac:dyDescent="0.2">
      <c r="A2" t="s">
        <v>1</v>
      </c>
      <c r="B2">
        <v>10000000</v>
      </c>
      <c r="C2" t="s">
        <v>6</v>
      </c>
      <c r="D2">
        <f>B2/(B3*12)</f>
        <v>1666.6666666666667</v>
      </c>
    </row>
    <row r="3" spans="1:4" x14ac:dyDescent="0.2">
      <c r="A3" t="s">
        <v>10</v>
      </c>
      <c r="B3">
        <v>500</v>
      </c>
      <c r="C3" t="s">
        <v>7</v>
      </c>
      <c r="D3">
        <f>(1/(B4*12))*D2</f>
        <v>34.722222222222221</v>
      </c>
    </row>
    <row r="4" spans="1:4" x14ac:dyDescent="0.2">
      <c r="A4" t="s">
        <v>2</v>
      </c>
      <c r="B4">
        <v>4</v>
      </c>
      <c r="C4" t="s">
        <v>12</v>
      </c>
      <c r="D4">
        <f>D3/B5</f>
        <v>3472.2222222222222</v>
      </c>
    </row>
    <row r="5" spans="1:4" x14ac:dyDescent="0.2">
      <c r="A5" t="s">
        <v>3</v>
      </c>
      <c r="B5">
        <v>0.01</v>
      </c>
      <c r="C5" t="s">
        <v>8</v>
      </c>
      <c r="D5">
        <f>D4*0.1</f>
        <v>347.22222222222223</v>
      </c>
    </row>
    <row r="6" spans="1:4" x14ac:dyDescent="0.2">
      <c r="A6" t="s">
        <v>4</v>
      </c>
      <c r="B6">
        <v>0.2</v>
      </c>
      <c r="C6" t="s">
        <v>9</v>
      </c>
      <c r="D6">
        <f>D3</f>
        <v>34.722222222222221</v>
      </c>
    </row>
    <row r="7" spans="1:4" x14ac:dyDescent="0.2">
      <c r="C7" t="s">
        <v>11</v>
      </c>
      <c r="D7">
        <f>D4*B6</f>
        <v>694.44444444444446</v>
      </c>
    </row>
    <row r="8" spans="1:4" x14ac:dyDescent="0.2">
      <c r="C8" t="s">
        <v>13</v>
      </c>
      <c r="D8">
        <f>D4-D7</f>
        <v>2777.7777777777778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Green</dc:creator>
  <cp:lastModifiedBy>Michael Green</cp:lastModifiedBy>
  <dcterms:created xsi:type="dcterms:W3CDTF">2025-12-21T02:28:08Z</dcterms:created>
  <dcterms:modified xsi:type="dcterms:W3CDTF">2025-12-21T03:01:37Z</dcterms:modified>
</cp:coreProperties>
</file>